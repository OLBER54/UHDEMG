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olivi\Documents\Universite Laval\Maitrise\Projet\UHDEMG\UHDEMG\07 - EXPORTS\BOM\"/>
    </mc:Choice>
  </mc:AlternateContent>
  <xr:revisionPtr revIDLastSave="0" documentId="13_ncr:1_{0FDE09A9-32E0-4E96-B164-9A684366F1FE}" xr6:coauthVersionLast="47" xr6:coauthVersionMax="47" xr10:uidLastSave="{00000000-0000-0000-0000-000000000000}"/>
  <bookViews>
    <workbookView xWindow="-28755" yWindow="-16350" windowWidth="29040" windowHeight="15720" activeTab="4" xr2:uid="{00000000-000D-0000-FFFF-FFFF00000000}"/>
  </bookViews>
  <sheets>
    <sheet name="Summary" sheetId="4" r:id="rId1"/>
    <sheet name="PCBWAY" sheetId="1" r:id="rId2"/>
    <sheet name="Digikey" sheetId="3" r:id="rId3"/>
    <sheet name="Intan" sheetId="5" r:id="rId4"/>
    <sheet name="Miscellaneou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G5" i="6"/>
  <c r="D5" i="1"/>
  <c r="D6" i="1"/>
  <c r="D7" i="1"/>
  <c r="D4" i="1"/>
  <c r="D9" i="1" s="1"/>
  <c r="D5" i="4" s="1"/>
  <c r="I4" i="5"/>
  <c r="D6" i="4" s="1"/>
  <c r="H4" i="5"/>
  <c r="D4" i="4"/>
  <c r="C4" i="3"/>
  <c r="D11" i="4" l="1"/>
</calcChain>
</file>

<file path=xl/sharedStrings.xml><?xml version="1.0" encoding="utf-8"?>
<sst xmlns="http://schemas.openxmlformats.org/spreadsheetml/2006/main" count="154" uniqueCount="124">
  <si>
    <t>Project Name</t>
  </si>
  <si>
    <t>Cost</t>
  </si>
  <si>
    <t>Cost (CAD)</t>
  </si>
  <si>
    <t>DB_Panel</t>
  </si>
  <si>
    <t>Microneedle_Patch</t>
  </si>
  <si>
    <t>Microneedle_Patch_Mirrored</t>
  </si>
  <si>
    <t>RHD2132_64CH</t>
  </si>
  <si>
    <t>Total</t>
  </si>
  <si>
    <t>Cart Link</t>
  </si>
  <si>
    <t>Digikey</t>
  </si>
  <si>
    <t>Index</t>
  </si>
  <si>
    <t>Manufacturer Part Number</t>
  </si>
  <si>
    <t>Description</t>
  </si>
  <si>
    <t xml:space="preserve"> </t>
  </si>
  <si>
    <t>Cart Total</t>
  </si>
  <si>
    <t>https://www.digikey.ca/short/82rprr5v</t>
  </si>
  <si>
    <t>Quantity</t>
  </si>
  <si>
    <t>Part Number</t>
  </si>
  <si>
    <t>Available</t>
  </si>
  <si>
    <t>Backorder</t>
  </si>
  <si>
    <t>Unit Price</t>
  </si>
  <si>
    <t>Extended Price CAD</t>
  </si>
  <si>
    <t>296-51824-1-ND</t>
  </si>
  <si>
    <t>TLV9001TIDCKR</t>
  </si>
  <si>
    <t>IC OP AMP 1CH SC-70-5</t>
  </si>
  <si>
    <t>1168-TG-T1000-36-36-0.25-5PT-ND</t>
  </si>
  <si>
    <t>TG-T1000-36-36-0.25-5PT</t>
  </si>
  <si>
    <t>THERM TAPE 36X36MM W/ADH WHT</t>
  </si>
  <si>
    <t>2223-HSB02-101007-ND</t>
  </si>
  <si>
    <t>HSB02-101007</t>
  </si>
  <si>
    <t>HEAT SINK, BGA, 10 X 10 X 7 MM</t>
  </si>
  <si>
    <t>2223-HSB31-212105-ND</t>
  </si>
  <si>
    <t>HSB31-212105</t>
  </si>
  <si>
    <t>HEAT SINK, BGA, 21 X 21 X 5 MM</t>
  </si>
  <si>
    <t>17-3-2492104-6CT-ND</t>
  </si>
  <si>
    <t>3-2492104-6</t>
  </si>
  <si>
    <t>0.5MM FPC RIGHT ANGLE BOTTOM SMT</t>
  </si>
  <si>
    <t>12401610E4#2ACT-ND</t>
  </si>
  <si>
    <t>12401610E4#2A</t>
  </si>
  <si>
    <t>CONN RCP USB3.1 TYPEC 24P SMD RA</t>
  </si>
  <si>
    <t>612-SSW-108-01-G-D-ND</t>
  </si>
  <si>
    <t>SSW-108-01-G-D</t>
  </si>
  <si>
    <t>CONN RCPT 16POS 0.1 GOLD PCB</t>
  </si>
  <si>
    <t>DS90LV048ATMTC/NOPB-ND</t>
  </si>
  <si>
    <t>DS90LV048ATMTC/NOPB</t>
  </si>
  <si>
    <t>IC RX 16-TSSOP</t>
  </si>
  <si>
    <t>DS90LV047ATMTC/NOPB-ND</t>
  </si>
  <si>
    <t>DS90LV047ATMTC/NOPB</t>
  </si>
  <si>
    <t>IC DRVR 16-TSSOP</t>
  </si>
  <si>
    <t>311-100LRCT-ND</t>
  </si>
  <si>
    <t>RC0402FR-07100RL</t>
  </si>
  <si>
    <t>RES 100 OHM 1% 1/16W 0402</t>
  </si>
  <si>
    <t>311-10.0KHRCT-ND</t>
  </si>
  <si>
    <t>RC0603FR-0710KL</t>
  </si>
  <si>
    <t>RES 10K OHM 1% 1/10W 0603</t>
  </si>
  <si>
    <t>311-0.0GRCT-ND</t>
  </si>
  <si>
    <t>RC0603JR-070RL</t>
  </si>
  <si>
    <t>RES 0 OHM JUMPER 1/10W 0603</t>
  </si>
  <si>
    <t>311-0.0LRCT-ND</t>
  </si>
  <si>
    <t>RC0402FR-070RL</t>
  </si>
  <si>
    <t>RES 0 OHM JUMPER 1/16W 0402</t>
  </si>
  <si>
    <t>311-330HRCT-ND</t>
  </si>
  <si>
    <t>RC0603FR-07330RL</t>
  </si>
  <si>
    <t>RES 330 OHM 1% 1/10W 0603</t>
  </si>
  <si>
    <t>SAM8995-ND</t>
  </si>
  <si>
    <t>TSW-103-07-F-S</t>
  </si>
  <si>
    <t>CONN HEADER VERT 3POS 2.54MM</t>
  </si>
  <si>
    <t>SAM8858-ND</t>
  </si>
  <si>
    <t>SNT-100-BK-G</t>
  </si>
  <si>
    <t>CONN SHUNT 2POS</t>
  </si>
  <si>
    <t>SAM9060-ND</t>
  </si>
  <si>
    <t>BTE-040-01-F-D-A</t>
  </si>
  <si>
    <t>CONN HDR 80POS SMD GOLD</t>
  </si>
  <si>
    <t>CP-102AH-ND</t>
  </si>
  <si>
    <t>PJ-102AH</t>
  </si>
  <si>
    <t>CONN PWR JACK 2X5.5MM SOLDER</t>
  </si>
  <si>
    <t>SAM10036-ND</t>
  </si>
  <si>
    <t>SSW-120-01-F-D</t>
  </si>
  <si>
    <t>CONN RCPT 40POS 0.1 GOLD PCB</t>
  </si>
  <si>
    <t>754-1934-1-ND</t>
  </si>
  <si>
    <t>APT1608LZGCK</t>
  </si>
  <si>
    <t>LED GREEN CLEAR 2SMD</t>
  </si>
  <si>
    <t>2223-DS04-254-2-04BK-SMT-CT-ND</t>
  </si>
  <si>
    <t>DS04-254-2-04BK-SMT-TR</t>
  </si>
  <si>
    <t>SWITCH SLIDE DIP SPST 0.025A 24V</t>
  </si>
  <si>
    <t>311-1088-1-ND</t>
  </si>
  <si>
    <t>CC0603KRX7R7BB104</t>
  </si>
  <si>
    <t>CAP CER 0.1UF 16V X7R 0603</t>
  </si>
  <si>
    <t>490-1313-1-ND</t>
  </si>
  <si>
    <t>GRM155R71C103KA01D</t>
  </si>
  <si>
    <t>CAP CER 10000PF 16V X7R 0402</t>
  </si>
  <si>
    <t>311-1338-1-ND</t>
  </si>
  <si>
    <t>CC0402KRX7R7BB104</t>
  </si>
  <si>
    <t>CAP CER 0.1UF 16V X7R 0402</t>
  </si>
  <si>
    <t>445-1604-1-ND</t>
  </si>
  <si>
    <t>C1608X7R1C105K080AC</t>
  </si>
  <si>
    <t>CAP CER 1UF 16V X7R 0603</t>
  </si>
  <si>
    <t>311-4063-1-ND</t>
  </si>
  <si>
    <t>CC0603KRX7R7BB102</t>
  </si>
  <si>
    <t>CAP CER 1000PF 16V X7R 0603</t>
  </si>
  <si>
    <t>1276-7092-1-ND</t>
  </si>
  <si>
    <t>CL21A226KOQNNNG</t>
  </si>
  <si>
    <t>CAP CER 22UF 16V X5R 0805</t>
  </si>
  <si>
    <t>A122528-ND</t>
  </si>
  <si>
    <t>CONN SPADE TERM 16-22AWG M2.5</t>
  </si>
  <si>
    <t>839-10-06147-ND</t>
  </si>
  <si>
    <t>10-06147</t>
  </si>
  <si>
    <t>CABLE, 2000 MM, 50-01071 USB C P</t>
  </si>
  <si>
    <t>Manufacturer/Distributor</t>
  </si>
  <si>
    <t>Amount</t>
  </si>
  <si>
    <t>PCBWay</t>
  </si>
  <si>
    <t>RHD2132</t>
  </si>
  <si>
    <t>Qt</t>
  </si>
  <si>
    <t>Handling</t>
  </si>
  <si>
    <t>Shipping</t>
  </si>
  <si>
    <t>Total CAD</t>
  </si>
  <si>
    <t>Intan</t>
  </si>
  <si>
    <t>Bolts</t>
  </si>
  <si>
    <t>Miscellaneous</t>
  </si>
  <si>
    <t>Name</t>
  </si>
  <si>
    <t>Vendor</t>
  </si>
  <si>
    <t>McMaster-Carr</t>
  </si>
  <si>
    <t>92000A011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</si>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</sst>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8" fontId="0" fillId="0" borderId="0" xfId="0" applyNumberFormat="1"/>
    <xf numFmtId="0" fontId="3" fillId="0" borderId="0" xfId="0" applyFont="1"/>
    <xf numFmtId="1" fontId="0" fillId="0" borderId="0" xfId="0" applyNumberFormat="1"/>
    <xf numFmtId="2" fontId="0" fillId="0" borderId="0" xfId="0" applyNumberFormat="1"/>
    <xf numFmtId="44" fontId="0" fillId="0" borderId="0" xfId="1" applyFont="1"/>
    <xf numFmtId="44" fontId="0" fillId="0" borderId="0" xfId="0" applyNumberFormat="1"/>
    <xf numFmtId="0" fontId="4" fillId="0" borderId="0" xfId="2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a/short/82rprr5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ECAC-6578-4F5C-AA70-A9524ED3CD1E}">
  <dimension ref="C3:D11"/>
  <sheetViews>
    <sheetView workbookViewId="0">
      <selection activeCell="J17" sqref="J17"/>
    </sheetView>
  </sheetViews>
  <sheetFormatPr defaultRowHeight="14.4" x14ac:dyDescent="0.3"/>
  <cols>
    <col min="3" max="3" width="22" bestFit="1" customWidth="1"/>
    <col min="4" max="4" width="11.33203125" bestFit="1" customWidth="1"/>
  </cols>
  <sheetData>
    <row r="3" spans="3:4" x14ac:dyDescent="0.3">
      <c r="C3" t="s">
        <v>108</v>
      </c>
      <c r="D3" t="s">
        <v>109</v>
      </c>
    </row>
    <row r="4" spans="3:4" x14ac:dyDescent="0.3">
      <c r="C4" t="s">
        <v>9</v>
      </c>
      <c r="D4" s="8">
        <f>Digikey!C4</f>
        <v>392.03025749999989</v>
      </c>
    </row>
    <row r="5" spans="3:4" x14ac:dyDescent="0.3">
      <c r="C5" t="s">
        <v>110</v>
      </c>
      <c r="D5" s="7">
        <f>PCBWAY!D9</f>
        <v>1433.0355999999999</v>
      </c>
    </row>
    <row r="6" spans="3:4" x14ac:dyDescent="0.3">
      <c r="C6" t="s">
        <v>116</v>
      </c>
      <c r="D6" s="7">
        <f>Intan!I4</f>
        <v>10029.587799999999</v>
      </c>
    </row>
    <row r="7" spans="3:4" x14ac:dyDescent="0.3">
      <c r="C7" t="s">
        <v>118</v>
      </c>
      <c r="D7" s="7">
        <f>Miscellaneous!G5</f>
        <v>8.91</v>
      </c>
    </row>
    <row r="11" spans="3:4" x14ac:dyDescent="0.3">
      <c r="C11" t="s">
        <v>7</v>
      </c>
      <c r="D11" s="8">
        <f>SUM(D4:D7)</f>
        <v>11863.563657499999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9"/>
  <sheetViews>
    <sheetView workbookViewId="0">
      <selection activeCell="G22" sqref="G22"/>
    </sheetView>
  </sheetViews>
  <sheetFormatPr defaultRowHeight="14.4" x14ac:dyDescent="0.3"/>
  <cols>
    <col min="1" max="1" width="3.44140625" customWidth="1"/>
    <col min="2" max="2" width="26.77734375" bestFit="1" customWidth="1"/>
    <col min="4" max="4" width="10.109375" bestFit="1" customWidth="1"/>
  </cols>
  <sheetData>
    <row r="3" spans="2:4" x14ac:dyDescent="0.3">
      <c r="B3" t="s">
        <v>0</v>
      </c>
      <c r="C3" t="s">
        <v>1</v>
      </c>
      <c r="D3" t="s">
        <v>2</v>
      </c>
    </row>
    <row r="4" spans="2:4" x14ac:dyDescent="0.3">
      <c r="B4" t="s">
        <v>3</v>
      </c>
      <c r="C4" s="7">
        <v>278.73</v>
      </c>
      <c r="D4" s="7">
        <f>1.42*C4</f>
        <v>395.79660000000001</v>
      </c>
    </row>
    <row r="5" spans="2:4" x14ac:dyDescent="0.3">
      <c r="B5" t="s">
        <v>4</v>
      </c>
      <c r="C5" s="7">
        <v>247.54</v>
      </c>
      <c r="D5" s="7">
        <f t="shared" ref="D5:D7" si="0">1.42*C5</f>
        <v>351.5068</v>
      </c>
    </row>
    <row r="6" spans="2:4" x14ac:dyDescent="0.3">
      <c r="B6" t="s">
        <v>5</v>
      </c>
      <c r="C6" s="7">
        <v>247.54</v>
      </c>
      <c r="D6" s="7">
        <f t="shared" si="0"/>
        <v>351.5068</v>
      </c>
    </row>
    <row r="7" spans="2:4" x14ac:dyDescent="0.3">
      <c r="B7" t="s">
        <v>6</v>
      </c>
      <c r="C7" s="7">
        <v>235.37</v>
      </c>
      <c r="D7" s="7">
        <f t="shared" si="0"/>
        <v>334.22539999999998</v>
      </c>
    </row>
    <row r="9" spans="2:4" x14ac:dyDescent="0.3">
      <c r="B9" t="s">
        <v>7</v>
      </c>
      <c r="D9" s="7">
        <f>SUM(D4:D7)</f>
        <v>1433.0355999999999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B8C0-6332-43EC-B796-9B1BE59D0815}">
  <dimension ref="B2:X36"/>
  <sheetViews>
    <sheetView workbookViewId="0">
      <selection activeCell="C3" sqref="C3"/>
    </sheetView>
  </sheetViews>
  <sheetFormatPr defaultRowHeight="14.4" x14ac:dyDescent="0.3"/>
  <cols>
    <col min="1" max="1" width="3" customWidth="1"/>
    <col min="2" max="2" width="10.5546875" bestFit="1" customWidth="1"/>
    <col min="3" max="3" width="23.33203125" bestFit="1" customWidth="1"/>
    <col min="4" max="4" width="30.6640625" bestFit="1" customWidth="1"/>
    <col min="5" max="5" width="24.21875" bestFit="1" customWidth="1"/>
    <col min="6" max="6" width="34.44140625" bestFit="1" customWidth="1"/>
    <col min="7" max="7" width="17.77734375" bestFit="1" customWidth="1"/>
    <col min="8" max="8" width="13.77734375" bestFit="1" customWidth="1"/>
    <col min="9" max="9" width="11.88671875" bestFit="1" customWidth="1"/>
    <col min="10" max="10" width="20" bestFit="1" customWidth="1"/>
    <col min="11" max="11" width="10.33203125" bestFit="1" customWidth="1"/>
    <col min="12" max="12" width="14.5546875" bestFit="1" customWidth="1"/>
    <col min="13" max="13" width="23" bestFit="1" customWidth="1"/>
    <col min="14" max="14" width="20.5546875" bestFit="1" customWidth="1"/>
    <col min="15" max="15" width="14.21875" bestFit="1" customWidth="1"/>
    <col min="17" max="17" width="9.77734375" bestFit="1" customWidth="1"/>
    <col min="18" max="18" width="10.77734375" bestFit="1" customWidth="1"/>
    <col min="20" max="20" width="30.88671875" customWidth="1"/>
  </cols>
  <sheetData>
    <row r="2" spans="2:24" ht="21" x14ac:dyDescent="0.4">
      <c r="B2" s="1" t="s">
        <v>9</v>
      </c>
    </row>
    <row r="3" spans="2:24" x14ac:dyDescent="0.3">
      <c r="B3" t="s">
        <v>8</v>
      </c>
      <c r="C3" s="9" t="s">
        <v>15</v>
      </c>
      <c r="X3" s="2"/>
    </row>
    <row r="4" spans="2:24" x14ac:dyDescent="0.3">
      <c r="B4" t="s">
        <v>14</v>
      </c>
      <c r="C4" s="7">
        <f>SUM(J7:J36)*1.14975</f>
        <v>392.03025749999989</v>
      </c>
    </row>
    <row r="6" spans="2:24" x14ac:dyDescent="0.3">
      <c r="B6" s="4" t="s">
        <v>10</v>
      </c>
      <c r="C6" s="4" t="s">
        <v>16</v>
      </c>
      <c r="D6" s="4" t="s">
        <v>17</v>
      </c>
      <c r="E6" s="4" t="s">
        <v>11</v>
      </c>
      <c r="F6" s="4" t="s">
        <v>12</v>
      </c>
      <c r="G6" s="4" t="s">
        <v>18</v>
      </c>
      <c r="H6" s="4" t="s">
        <v>19</v>
      </c>
      <c r="I6" s="4" t="s">
        <v>20</v>
      </c>
      <c r="J6" s="4" t="s">
        <v>21</v>
      </c>
    </row>
    <row r="7" spans="2:24" x14ac:dyDescent="0.3">
      <c r="B7" s="5">
        <v>1</v>
      </c>
      <c r="C7" s="5">
        <v>3</v>
      </c>
      <c r="D7" t="s">
        <v>22</v>
      </c>
      <c r="E7" t="s">
        <v>23</v>
      </c>
      <c r="F7" t="s">
        <v>24</v>
      </c>
      <c r="G7" s="5">
        <v>3</v>
      </c>
      <c r="H7" s="5">
        <v>0</v>
      </c>
      <c r="I7">
        <v>0.72</v>
      </c>
      <c r="J7" s="6">
        <v>2.16</v>
      </c>
      <c r="L7" s="3"/>
      <c r="U7" t="s">
        <v>13</v>
      </c>
    </row>
    <row r="8" spans="2:24" x14ac:dyDescent="0.3">
      <c r="B8" s="5">
        <v>2</v>
      </c>
      <c r="C8" s="5">
        <v>2</v>
      </c>
      <c r="D8" t="s">
        <v>25</v>
      </c>
      <c r="E8" t="s">
        <v>26</v>
      </c>
      <c r="F8" t="s">
        <v>27</v>
      </c>
      <c r="G8" s="5">
        <v>2</v>
      </c>
      <c r="H8" s="5">
        <v>0</v>
      </c>
      <c r="I8">
        <v>0.63</v>
      </c>
      <c r="J8" s="6">
        <v>1.26</v>
      </c>
      <c r="L8" s="3"/>
      <c r="U8" t="s">
        <v>13</v>
      </c>
    </row>
    <row r="9" spans="2:24" x14ac:dyDescent="0.3">
      <c r="B9" s="5">
        <v>3</v>
      </c>
      <c r="C9" s="5">
        <v>2</v>
      </c>
      <c r="D9" t="s">
        <v>28</v>
      </c>
      <c r="E9" t="s">
        <v>29</v>
      </c>
      <c r="F9" t="s">
        <v>30</v>
      </c>
      <c r="G9" s="5">
        <v>2</v>
      </c>
      <c r="H9" s="5">
        <v>0</v>
      </c>
      <c r="I9">
        <v>1.23</v>
      </c>
      <c r="J9" s="6">
        <v>2.46</v>
      </c>
      <c r="L9" s="3"/>
      <c r="U9" t="s">
        <v>13</v>
      </c>
    </row>
    <row r="10" spans="2:24" x14ac:dyDescent="0.3">
      <c r="B10" s="5">
        <v>4</v>
      </c>
      <c r="C10" s="5">
        <v>1</v>
      </c>
      <c r="D10" t="s">
        <v>31</v>
      </c>
      <c r="E10" t="s">
        <v>32</v>
      </c>
      <c r="F10" t="s">
        <v>33</v>
      </c>
      <c r="G10" s="5">
        <v>1</v>
      </c>
      <c r="H10" s="5">
        <v>0</v>
      </c>
      <c r="I10">
        <v>1.48</v>
      </c>
      <c r="J10" s="6">
        <v>1.48</v>
      </c>
      <c r="U10" t="s">
        <v>13</v>
      </c>
    </row>
    <row r="11" spans="2:24" x14ac:dyDescent="0.3">
      <c r="B11" s="5">
        <v>5</v>
      </c>
      <c r="C11" s="5">
        <v>25</v>
      </c>
      <c r="D11" t="s">
        <v>34</v>
      </c>
      <c r="E11" t="s">
        <v>35</v>
      </c>
      <c r="F11" t="s">
        <v>36</v>
      </c>
      <c r="G11" s="5">
        <v>25</v>
      </c>
      <c r="H11" s="5">
        <v>0</v>
      </c>
      <c r="I11">
        <v>1.6392</v>
      </c>
      <c r="J11" s="6">
        <v>40.98</v>
      </c>
      <c r="U11" t="s">
        <v>13</v>
      </c>
    </row>
    <row r="12" spans="2:24" x14ac:dyDescent="0.3">
      <c r="B12" s="5">
        <v>6</v>
      </c>
      <c r="C12" s="5">
        <v>18</v>
      </c>
      <c r="D12" t="s">
        <v>37</v>
      </c>
      <c r="E12" t="s">
        <v>38</v>
      </c>
      <c r="F12" t="s">
        <v>39</v>
      </c>
      <c r="G12" s="5">
        <v>18</v>
      </c>
      <c r="H12" s="5">
        <v>0</v>
      </c>
      <c r="I12">
        <v>1.784</v>
      </c>
      <c r="J12" s="6">
        <v>32.11</v>
      </c>
      <c r="U12" t="s">
        <v>13</v>
      </c>
    </row>
    <row r="13" spans="2:24" x14ac:dyDescent="0.3">
      <c r="B13" s="5">
        <v>7</v>
      </c>
      <c r="C13" s="5">
        <v>10</v>
      </c>
      <c r="D13" t="s">
        <v>40</v>
      </c>
      <c r="E13" t="s">
        <v>41</v>
      </c>
      <c r="F13" t="s">
        <v>42</v>
      </c>
      <c r="G13" s="5">
        <v>10</v>
      </c>
      <c r="H13" s="5">
        <v>0</v>
      </c>
      <c r="I13">
        <v>3.2610000000000001</v>
      </c>
      <c r="J13" s="6">
        <v>32.61</v>
      </c>
      <c r="U13" t="s">
        <v>13</v>
      </c>
    </row>
    <row r="14" spans="2:24" x14ac:dyDescent="0.3">
      <c r="B14" s="5">
        <v>8</v>
      </c>
      <c r="C14" s="5">
        <v>10</v>
      </c>
      <c r="D14" t="s">
        <v>43</v>
      </c>
      <c r="E14" t="s">
        <v>44</v>
      </c>
      <c r="F14" t="s">
        <v>45</v>
      </c>
      <c r="G14" s="5">
        <v>10</v>
      </c>
      <c r="H14" s="5">
        <v>0</v>
      </c>
      <c r="I14">
        <v>4.5780000000000003</v>
      </c>
      <c r="J14" s="6">
        <v>45.78</v>
      </c>
      <c r="U14" t="s">
        <v>13</v>
      </c>
    </row>
    <row r="15" spans="2:24" x14ac:dyDescent="0.3">
      <c r="B15" s="5">
        <v>9</v>
      </c>
      <c r="C15" s="5">
        <v>10</v>
      </c>
      <c r="D15" t="s">
        <v>46</v>
      </c>
      <c r="E15" t="s">
        <v>47</v>
      </c>
      <c r="F15" t="s">
        <v>48</v>
      </c>
      <c r="G15" s="5">
        <v>10</v>
      </c>
      <c r="H15" s="5">
        <v>0</v>
      </c>
      <c r="I15">
        <v>4.75</v>
      </c>
      <c r="J15" s="6">
        <v>47.5</v>
      </c>
      <c r="U15" t="s">
        <v>13</v>
      </c>
    </row>
    <row r="16" spans="2:24" x14ac:dyDescent="0.3">
      <c r="B16" s="5">
        <v>10</v>
      </c>
      <c r="C16" s="5">
        <v>50</v>
      </c>
      <c r="D16" t="s">
        <v>49</v>
      </c>
      <c r="E16" t="s">
        <v>50</v>
      </c>
      <c r="F16" t="s">
        <v>51</v>
      </c>
      <c r="G16" s="5">
        <v>50</v>
      </c>
      <c r="H16" s="5">
        <v>0</v>
      </c>
      <c r="I16">
        <v>1.8800000000000001E-2</v>
      </c>
      <c r="J16" s="6">
        <v>0.94</v>
      </c>
      <c r="U16" t="s">
        <v>13</v>
      </c>
    </row>
    <row r="17" spans="2:21" x14ac:dyDescent="0.3">
      <c r="B17" s="5">
        <v>11</v>
      </c>
      <c r="C17" s="5">
        <v>30</v>
      </c>
      <c r="D17" t="s">
        <v>52</v>
      </c>
      <c r="E17" t="s">
        <v>53</v>
      </c>
      <c r="F17" t="s">
        <v>54</v>
      </c>
      <c r="G17" s="5">
        <v>30</v>
      </c>
      <c r="H17" s="5">
        <v>0</v>
      </c>
      <c r="I17">
        <v>2.92E-2</v>
      </c>
      <c r="J17" s="6">
        <v>0.88</v>
      </c>
      <c r="U17" t="s">
        <v>13</v>
      </c>
    </row>
    <row r="18" spans="2:21" x14ac:dyDescent="0.3">
      <c r="B18" s="5">
        <v>12</v>
      </c>
      <c r="C18" s="5">
        <v>10</v>
      </c>
      <c r="D18" t="s">
        <v>55</v>
      </c>
      <c r="E18" t="s">
        <v>56</v>
      </c>
      <c r="F18" t="s">
        <v>57</v>
      </c>
      <c r="G18" s="5">
        <v>10</v>
      </c>
      <c r="H18" s="5">
        <v>0</v>
      </c>
      <c r="I18">
        <v>1.9E-2</v>
      </c>
      <c r="J18" s="6">
        <v>0.19</v>
      </c>
      <c r="U18" t="s">
        <v>13</v>
      </c>
    </row>
    <row r="19" spans="2:21" x14ac:dyDescent="0.3">
      <c r="B19" s="5">
        <v>13</v>
      </c>
      <c r="C19" s="5">
        <v>10</v>
      </c>
      <c r="D19" t="s">
        <v>58</v>
      </c>
      <c r="E19" t="s">
        <v>59</v>
      </c>
      <c r="F19" t="s">
        <v>60</v>
      </c>
      <c r="G19" s="5">
        <v>10</v>
      </c>
      <c r="H19" s="5">
        <v>0</v>
      </c>
      <c r="I19">
        <v>1.6E-2</v>
      </c>
      <c r="J19" s="6">
        <v>0.16</v>
      </c>
      <c r="U19" t="s">
        <v>13</v>
      </c>
    </row>
    <row r="20" spans="2:21" x14ac:dyDescent="0.3">
      <c r="B20" s="5">
        <v>14</v>
      </c>
      <c r="C20" s="5">
        <v>15</v>
      </c>
      <c r="D20" t="s">
        <v>61</v>
      </c>
      <c r="E20" t="s">
        <v>62</v>
      </c>
      <c r="F20" t="s">
        <v>63</v>
      </c>
      <c r="G20" s="5">
        <v>15</v>
      </c>
      <c r="H20" s="5">
        <v>0</v>
      </c>
      <c r="I20">
        <v>3.9E-2</v>
      </c>
      <c r="J20" s="6">
        <v>0.59</v>
      </c>
      <c r="U20" t="s">
        <v>13</v>
      </c>
    </row>
    <row r="21" spans="2:21" x14ac:dyDescent="0.3">
      <c r="B21" s="5">
        <v>15</v>
      </c>
      <c r="C21" s="5">
        <v>2</v>
      </c>
      <c r="D21" t="s">
        <v>64</v>
      </c>
      <c r="E21" t="s">
        <v>65</v>
      </c>
      <c r="F21" t="s">
        <v>66</v>
      </c>
      <c r="G21" s="5">
        <v>2</v>
      </c>
      <c r="H21" s="5">
        <v>0</v>
      </c>
      <c r="I21">
        <v>0.25</v>
      </c>
      <c r="J21" s="6">
        <v>0.5</v>
      </c>
      <c r="U21" t="s">
        <v>13</v>
      </c>
    </row>
    <row r="22" spans="2:21" x14ac:dyDescent="0.3">
      <c r="B22" s="5">
        <v>16</v>
      </c>
      <c r="C22" s="5">
        <v>2</v>
      </c>
      <c r="D22" t="s">
        <v>67</v>
      </c>
      <c r="E22" t="s">
        <v>68</v>
      </c>
      <c r="F22" t="s">
        <v>69</v>
      </c>
      <c r="G22" s="5">
        <v>2</v>
      </c>
      <c r="H22" s="5">
        <v>0</v>
      </c>
      <c r="I22">
        <v>0.48</v>
      </c>
      <c r="J22" s="6">
        <v>0.96</v>
      </c>
      <c r="U22" t="s">
        <v>13</v>
      </c>
    </row>
    <row r="23" spans="2:21" x14ac:dyDescent="0.3">
      <c r="B23" s="5">
        <v>17</v>
      </c>
      <c r="C23" s="5">
        <v>3</v>
      </c>
      <c r="D23" t="s">
        <v>70</v>
      </c>
      <c r="E23" t="s">
        <v>71</v>
      </c>
      <c r="F23" t="s">
        <v>72</v>
      </c>
      <c r="G23" s="5">
        <v>3</v>
      </c>
      <c r="H23" s="5">
        <v>0</v>
      </c>
      <c r="I23">
        <v>5.03</v>
      </c>
      <c r="J23" s="6">
        <v>15.09</v>
      </c>
      <c r="U23" t="s">
        <v>13</v>
      </c>
    </row>
    <row r="24" spans="2:21" x14ac:dyDescent="0.3">
      <c r="B24" s="5">
        <v>18</v>
      </c>
      <c r="C24" s="5">
        <v>2</v>
      </c>
      <c r="D24" t="s">
        <v>73</v>
      </c>
      <c r="E24" t="s">
        <v>74</v>
      </c>
      <c r="F24" t="s">
        <v>75</v>
      </c>
      <c r="G24" s="5">
        <v>2</v>
      </c>
      <c r="H24" s="5">
        <v>0</v>
      </c>
      <c r="I24">
        <v>1.1299999999999999</v>
      </c>
      <c r="J24" s="6">
        <v>2.2599999999999998</v>
      </c>
      <c r="U24" t="s">
        <v>13</v>
      </c>
    </row>
    <row r="25" spans="2:21" x14ac:dyDescent="0.3">
      <c r="B25" s="5">
        <v>19</v>
      </c>
      <c r="C25" s="5">
        <v>10</v>
      </c>
      <c r="D25" t="s">
        <v>40</v>
      </c>
      <c r="E25" t="s">
        <v>41</v>
      </c>
      <c r="F25" t="s">
        <v>42</v>
      </c>
      <c r="G25" s="5">
        <v>10</v>
      </c>
      <c r="H25" s="5">
        <v>0</v>
      </c>
      <c r="I25">
        <v>3.2610000000000001</v>
      </c>
      <c r="J25" s="6">
        <v>32.61</v>
      </c>
      <c r="U25" t="s">
        <v>13</v>
      </c>
    </row>
    <row r="26" spans="2:21" x14ac:dyDescent="0.3">
      <c r="B26" s="5">
        <v>20</v>
      </c>
      <c r="C26" s="5">
        <v>4</v>
      </c>
      <c r="D26" t="s">
        <v>76</v>
      </c>
      <c r="E26" t="s">
        <v>77</v>
      </c>
      <c r="F26" t="s">
        <v>78</v>
      </c>
      <c r="G26" s="5">
        <v>4</v>
      </c>
      <c r="H26" s="5">
        <v>0</v>
      </c>
      <c r="I26">
        <v>6.27</v>
      </c>
      <c r="J26" s="6">
        <v>25.08</v>
      </c>
      <c r="U26" t="s">
        <v>13</v>
      </c>
    </row>
    <row r="27" spans="2:21" x14ac:dyDescent="0.3">
      <c r="B27" s="5">
        <v>21</v>
      </c>
      <c r="C27" s="5">
        <v>10</v>
      </c>
      <c r="D27" t="s">
        <v>79</v>
      </c>
      <c r="E27" t="s">
        <v>80</v>
      </c>
      <c r="F27" t="s">
        <v>81</v>
      </c>
      <c r="G27" s="5">
        <v>10</v>
      </c>
      <c r="H27" s="5">
        <v>0</v>
      </c>
      <c r="I27">
        <v>0.58899999999999997</v>
      </c>
      <c r="J27" s="6">
        <v>5.89</v>
      </c>
      <c r="U27" t="s">
        <v>13</v>
      </c>
    </row>
    <row r="28" spans="2:21" x14ac:dyDescent="0.3">
      <c r="B28" s="5">
        <v>22</v>
      </c>
      <c r="C28" s="5">
        <v>2</v>
      </c>
      <c r="D28" t="s">
        <v>82</v>
      </c>
      <c r="E28" t="s">
        <v>83</v>
      </c>
      <c r="F28" t="s">
        <v>84</v>
      </c>
      <c r="G28" s="5">
        <v>2</v>
      </c>
      <c r="H28" s="5">
        <v>0</v>
      </c>
      <c r="I28">
        <v>1.26</v>
      </c>
      <c r="J28" s="6">
        <v>2.52</v>
      </c>
    </row>
    <row r="29" spans="2:21" x14ac:dyDescent="0.3">
      <c r="B29" s="5">
        <v>23</v>
      </c>
      <c r="C29" s="5">
        <v>50</v>
      </c>
      <c r="D29" t="s">
        <v>85</v>
      </c>
      <c r="E29" t="s">
        <v>86</v>
      </c>
      <c r="F29" t="s">
        <v>87</v>
      </c>
      <c r="G29" s="5">
        <v>50</v>
      </c>
      <c r="H29" s="5">
        <v>0</v>
      </c>
      <c r="I29">
        <v>8.1199999999999994E-2</v>
      </c>
      <c r="J29" s="6">
        <v>4.0599999999999996</v>
      </c>
    </row>
    <row r="30" spans="2:21" x14ac:dyDescent="0.3">
      <c r="B30" s="5">
        <v>24</v>
      </c>
      <c r="C30" s="5">
        <v>25</v>
      </c>
      <c r="D30" t="s">
        <v>88</v>
      </c>
      <c r="E30" t="s">
        <v>89</v>
      </c>
      <c r="F30" t="s">
        <v>90</v>
      </c>
      <c r="G30" s="5">
        <v>25</v>
      </c>
      <c r="H30" s="5">
        <v>0</v>
      </c>
      <c r="I30">
        <v>3.5000000000000003E-2</v>
      </c>
      <c r="J30" s="6">
        <v>0.88</v>
      </c>
    </row>
    <row r="31" spans="2:21" x14ac:dyDescent="0.3">
      <c r="B31" s="5">
        <v>25</v>
      </c>
      <c r="C31" s="5">
        <v>50</v>
      </c>
      <c r="D31" t="s">
        <v>91</v>
      </c>
      <c r="E31" t="s">
        <v>92</v>
      </c>
      <c r="F31" t="s">
        <v>93</v>
      </c>
      <c r="G31" s="5">
        <v>50</v>
      </c>
      <c r="H31" s="5">
        <v>0</v>
      </c>
      <c r="I31">
        <v>4.0800000000000003E-2</v>
      </c>
      <c r="J31" s="6">
        <v>2.04</v>
      </c>
    </row>
    <row r="32" spans="2:21" x14ac:dyDescent="0.3">
      <c r="B32" s="5">
        <v>26</v>
      </c>
      <c r="C32" s="5">
        <v>20</v>
      </c>
      <c r="D32" t="s">
        <v>94</v>
      </c>
      <c r="E32" t="s">
        <v>95</v>
      </c>
      <c r="F32" t="s">
        <v>96</v>
      </c>
      <c r="G32" s="5">
        <v>20</v>
      </c>
      <c r="H32" s="5">
        <v>0</v>
      </c>
      <c r="I32">
        <v>0.10100000000000001</v>
      </c>
      <c r="J32" s="6">
        <v>2.02</v>
      </c>
    </row>
    <row r="33" spans="2:10" x14ac:dyDescent="0.3">
      <c r="B33" s="5">
        <v>27</v>
      </c>
      <c r="C33" s="5">
        <v>50</v>
      </c>
      <c r="D33" t="s">
        <v>97</v>
      </c>
      <c r="E33" t="s">
        <v>98</v>
      </c>
      <c r="F33" t="s">
        <v>99</v>
      </c>
      <c r="G33" s="5">
        <v>50</v>
      </c>
      <c r="H33" s="5">
        <v>0</v>
      </c>
      <c r="I33">
        <v>5.3999999999999999E-2</v>
      </c>
      <c r="J33" s="6">
        <v>2.7</v>
      </c>
    </row>
    <row r="34" spans="2:10" x14ac:dyDescent="0.3">
      <c r="B34" s="5">
        <v>28</v>
      </c>
      <c r="C34" s="5">
        <v>4</v>
      </c>
      <c r="D34" t="s">
        <v>100</v>
      </c>
      <c r="E34" t="s">
        <v>101</v>
      </c>
      <c r="F34" t="s">
        <v>102</v>
      </c>
      <c r="G34" s="5">
        <v>4</v>
      </c>
      <c r="H34" s="5">
        <v>0</v>
      </c>
      <c r="I34">
        <v>0.62</v>
      </c>
      <c r="J34" s="6">
        <v>2.48</v>
      </c>
    </row>
    <row r="35" spans="2:10" x14ac:dyDescent="0.3">
      <c r="B35" s="5">
        <v>29</v>
      </c>
      <c r="C35" s="5">
        <v>25</v>
      </c>
      <c r="D35" t="s">
        <v>103</v>
      </c>
      <c r="E35" s="5">
        <v>130522</v>
      </c>
      <c r="F35" t="s">
        <v>104</v>
      </c>
      <c r="G35" s="5">
        <v>25</v>
      </c>
      <c r="H35" s="5">
        <v>0</v>
      </c>
      <c r="I35">
        <v>0.67759999999999998</v>
      </c>
      <c r="J35" s="6">
        <v>16.940000000000001</v>
      </c>
    </row>
    <row r="36" spans="2:10" x14ac:dyDescent="0.3">
      <c r="B36" s="5">
        <v>30</v>
      </c>
      <c r="C36" s="5">
        <v>1</v>
      </c>
      <c r="D36" t="s">
        <v>105</v>
      </c>
      <c r="E36" t="s">
        <v>106</v>
      </c>
      <c r="F36" t="s">
        <v>107</v>
      </c>
      <c r="G36" s="5">
        <v>1</v>
      </c>
      <c r="H36" s="5">
        <v>0</v>
      </c>
      <c r="I36">
        <v>15.84</v>
      </c>
      <c r="J36" s="6">
        <v>15.84</v>
      </c>
    </row>
  </sheetData>
  <hyperlinks>
    <hyperlink ref="C3" r:id="rId1" xr:uid="{6239879B-B4BB-453F-AF96-AB44952B0B1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EC2F6-26B1-40EB-9FFE-51B52FB48ADC}">
  <dimension ref="C3:I4"/>
  <sheetViews>
    <sheetView workbookViewId="0">
      <selection activeCell="K17" sqref="K17"/>
    </sheetView>
  </sheetViews>
  <sheetFormatPr defaultRowHeight="14.4" x14ac:dyDescent="0.3"/>
  <cols>
    <col min="8" max="8" width="10.33203125" bestFit="1" customWidth="1"/>
    <col min="9" max="9" width="11.33203125" bestFit="1" customWidth="1"/>
  </cols>
  <sheetData>
    <row r="3" spans="3:9" x14ac:dyDescent="0.3">
      <c r="D3" t="s">
        <v>112</v>
      </c>
      <c r="E3" t="s">
        <v>20</v>
      </c>
      <c r="F3" t="s">
        <v>113</v>
      </c>
      <c r="G3" t="s">
        <v>114</v>
      </c>
      <c r="H3" t="s">
        <v>7</v>
      </c>
      <c r="I3" t="s">
        <v>115</v>
      </c>
    </row>
    <row r="4" spans="3:9" x14ac:dyDescent="0.3">
      <c r="C4" t="s">
        <v>111</v>
      </c>
      <c r="D4">
        <v>16</v>
      </c>
      <c r="E4" s="7">
        <v>430</v>
      </c>
      <c r="F4" s="7">
        <v>50</v>
      </c>
      <c r="G4" s="7">
        <v>133.09</v>
      </c>
      <c r="H4" s="7">
        <f>G4+F4+D4*E4</f>
        <v>7063.09</v>
      </c>
      <c r="I4" s="7">
        <f>1.42*H4</f>
        <v>10029.587799999999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D58B-EC11-4CDF-9FF8-7FA40620BE0F}">
  <dimension ref="B3:G5"/>
  <sheetViews>
    <sheetView tabSelected="1" workbookViewId="0">
      <selection activeCell="M13" sqref="M13"/>
    </sheetView>
  </sheetViews>
  <sheetFormatPr defaultRowHeight="14.4" x14ac:dyDescent="0.3"/>
  <cols>
    <col min="3" max="3" width="15.33203125" customWidth="1"/>
    <col min="4" max="4" width="11.88671875" customWidth="1"/>
    <col min="6" max="6" width="10.109375" customWidth="1"/>
    <col min="7" max="7" width="11.21875" customWidth="1"/>
  </cols>
  <sheetData>
    <row r="3" spans="2:7" x14ac:dyDescent="0.3">
      <c r="B3" t="s">
        <v>119</v>
      </c>
      <c r="C3" t="s">
        <v>120</v>
      </c>
      <c r="D3" t="s">
        <v>17</v>
      </c>
      <c r="E3" t="s">
        <v>112</v>
      </c>
      <c r="F3" t="s">
        <v>20</v>
      </c>
      <c r="G3" t="s">
        <v>123</v>
      </c>
    </row>
    <row r="5" spans="2:7" x14ac:dyDescent="0.3">
      <c r="B5" t="s">
        <v>117</v>
      </c>
      <c r="C5" t="s">
        <v>121</v>
      </c>
      <c r="D5" t="s">
        <v>122</v>
      </c>
      <c r="E5">
        <v>1</v>
      </c>
      <c r="F5">
        <v>8.91</v>
      </c>
      <c r="G5" s="7">
        <f>E5*F5</f>
        <v>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PCBWAY</vt:lpstr>
      <vt:lpstr>Digikey</vt:lpstr>
      <vt:lpstr>Intan</vt:lpstr>
      <vt:lpstr>Miscellaneous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Bergeron</dc:creator>
  <cp:lastModifiedBy>Olivier Bergeron</cp:lastModifiedBy>
  <dcterms:created xsi:type="dcterms:W3CDTF">2015-06-05T18:17:20Z</dcterms:created>
  <dcterms:modified xsi:type="dcterms:W3CDTF">2026-09-30T22:01:38Z</dcterms:modified>
</cp:coreProperties>
</file>