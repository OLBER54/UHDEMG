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\Documents\Universite Laval\Maitrise\Projet\UHDEMG\UHDEMG\02 - DOCUMENTATION\BOM\V3\"/>
    </mc:Choice>
  </mc:AlternateContent>
  <xr:revisionPtr revIDLastSave="0" documentId="13_ncr:1_{3B78CDEE-78B4-40B7-8609-C35958C4EC20}" xr6:coauthVersionLast="47" xr6:coauthVersionMax="47" xr10:uidLastSave="{00000000-0000-0000-0000-000000000000}"/>
  <bookViews>
    <workbookView xWindow="-108" yWindow="-108" windowWidth="23256" windowHeight="13896" xr2:uid="{6A28ECC1-5F72-40AA-AE8F-9B4938B3AD9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9" i="2" l="1"/>
  <c r="F32" i="2"/>
  <c r="F34" i="2"/>
  <c r="F35" i="2"/>
  <c r="F36" i="2"/>
  <c r="F37" i="2"/>
  <c r="F38" i="2"/>
  <c r="F6" i="2"/>
  <c r="F7" i="2"/>
  <c r="F8" i="2"/>
  <c r="F9" i="2"/>
  <c r="F10" i="2"/>
  <c r="F11" i="2"/>
  <c r="F13" i="2"/>
  <c r="F14" i="2"/>
  <c r="F15" i="2"/>
  <c r="F16" i="2"/>
  <c r="F17" i="2"/>
  <c r="F19" i="2"/>
  <c r="F20" i="2"/>
  <c r="F21" i="2"/>
  <c r="F22" i="2"/>
  <c r="F23" i="2"/>
  <c r="F24" i="2"/>
  <c r="F26" i="2"/>
  <c r="F28" i="2"/>
  <c r="F29" i="2"/>
  <c r="F30" i="2"/>
  <c r="E37" i="2"/>
  <c r="F5" i="2"/>
</calcChain>
</file>

<file path=xl/sharedStrings.xml><?xml version="1.0" encoding="utf-8"?>
<sst xmlns="http://schemas.openxmlformats.org/spreadsheetml/2006/main" count="48" uniqueCount="48">
  <si>
    <t>Electrode Breakout</t>
  </si>
  <si>
    <t>FPGA</t>
  </si>
  <si>
    <t>RHD2132</t>
  </si>
  <si>
    <t>Total</t>
  </si>
  <si>
    <t>ZIF</t>
  </si>
  <si>
    <t>USB</t>
  </si>
  <si>
    <t>DIP</t>
  </si>
  <si>
    <t>Green LED</t>
  </si>
  <si>
    <t>Driver</t>
  </si>
  <si>
    <t>Receiver</t>
  </si>
  <si>
    <t>Heatsink FPGA</t>
  </si>
  <si>
    <t>M2 Screw</t>
  </si>
  <si>
    <t>FPGA DB</t>
  </si>
  <si>
    <t>Connectors</t>
  </si>
  <si>
    <t>Qt Assemblies</t>
  </si>
  <si>
    <t>Resistors</t>
  </si>
  <si>
    <t>Capacitors</t>
  </si>
  <si>
    <t>IC</t>
  </si>
  <si>
    <t>Assemblies</t>
  </si>
  <si>
    <t>Diodes</t>
  </si>
  <si>
    <t>Switches</t>
  </si>
  <si>
    <t>Name</t>
  </si>
  <si>
    <t>Category</t>
  </si>
  <si>
    <t>Header 2X8</t>
  </si>
  <si>
    <t>0402 0R00</t>
  </si>
  <si>
    <t>Heatsink Tape</t>
  </si>
  <si>
    <t>Electrode Wire</t>
  </si>
  <si>
    <t>Ring Crimp</t>
  </si>
  <si>
    <t>0402 100R</t>
  </si>
  <si>
    <t>0402 10n</t>
  </si>
  <si>
    <t>0402 100n</t>
  </si>
  <si>
    <t>Header 2X20</t>
  </si>
  <si>
    <t>*</t>
  </si>
  <si>
    <t>Header 1X3 (+ Jumper)</t>
  </si>
  <si>
    <t>0603 0R00</t>
  </si>
  <si>
    <t>0603 10K0</t>
  </si>
  <si>
    <t>0603 100n</t>
  </si>
  <si>
    <t>0603 1u</t>
  </si>
  <si>
    <t>0805 22u</t>
  </si>
  <si>
    <t>Power</t>
  </si>
  <si>
    <t>TLV9001</t>
  </si>
  <si>
    <t>0603 330R</t>
  </si>
  <si>
    <t>0603 1n</t>
  </si>
  <si>
    <t>USB C to USB C</t>
  </si>
  <si>
    <t>*Screw Lengths</t>
  </si>
  <si>
    <t>RHD2132: 4.6 mm max</t>
  </si>
  <si>
    <t>FPGA: 10.08 mm max</t>
  </si>
  <si>
    <t>Electrode: 6 mm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</si>
</sst>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E12E-0F4C-413D-B1FE-AA651F801ACF}">
  <dimension ref="A2:H39"/>
  <sheetViews>
    <sheetView tabSelected="1" workbookViewId="0">
      <selection activeCell="M36" sqref="M36"/>
    </sheetView>
  </sheetViews>
  <sheetFormatPr defaultRowHeight="14.4" x14ac:dyDescent="0.3"/>
  <cols>
    <col min="1" max="1" width="12.44140625" bestFit="1" customWidth="1"/>
    <col min="2" max="2" width="19.21875" bestFit="1" customWidth="1"/>
    <col min="3" max="3" width="18.5546875" customWidth="1"/>
    <col min="4" max="4" width="10.109375" customWidth="1"/>
    <col min="5" max="5" width="10.88671875" customWidth="1"/>
    <col min="8" max="8" width="19.44140625" bestFit="1" customWidth="1"/>
  </cols>
  <sheetData>
    <row r="2" spans="1:6" x14ac:dyDescent="0.3">
      <c r="A2" t="s">
        <v>22</v>
      </c>
      <c r="B2" t="s">
        <v>21</v>
      </c>
      <c r="C2" t="s">
        <v>0</v>
      </c>
      <c r="D2" t="s">
        <v>12</v>
      </c>
      <c r="E2" t="s">
        <v>2</v>
      </c>
      <c r="F2" t="s">
        <v>3</v>
      </c>
    </row>
    <row r="3" spans="1:6" x14ac:dyDescent="0.3">
      <c r="A3" t="s">
        <v>14</v>
      </c>
      <c r="C3">
        <v>2</v>
      </c>
      <c r="D3">
        <v>1</v>
      </c>
      <c r="E3">
        <v>8</v>
      </c>
    </row>
    <row r="5" spans="1:6" x14ac:dyDescent="0.3">
      <c r="A5" t="s">
        <v>13</v>
      </c>
      <c r="B5" s="2" t="s">
        <v>4</v>
      </c>
      <c r="C5" s="2">
        <v>2</v>
      </c>
      <c r="D5" s="2">
        <v>0</v>
      </c>
      <c r="E5" s="2">
        <v>2</v>
      </c>
      <c r="F5" s="2">
        <f>$C$3*C5+$D$3*D5+$E$3*E5</f>
        <v>20</v>
      </c>
    </row>
    <row r="6" spans="1:6" x14ac:dyDescent="0.3">
      <c r="B6" s="2" t="s">
        <v>5</v>
      </c>
      <c r="C6" s="2">
        <v>0</v>
      </c>
      <c r="D6" s="2">
        <v>8</v>
      </c>
      <c r="E6" s="2">
        <v>1</v>
      </c>
      <c r="F6" s="2">
        <f t="shared" ref="F6:F39" si="0">$C$3*C6+$D$3*D6+$E$3*E6</f>
        <v>16</v>
      </c>
    </row>
    <row r="7" spans="1:6" x14ac:dyDescent="0.3">
      <c r="B7" s="2" t="s">
        <v>1</v>
      </c>
      <c r="C7" s="2">
        <v>0</v>
      </c>
      <c r="D7" s="2">
        <v>2</v>
      </c>
      <c r="E7" s="2">
        <v>0</v>
      </c>
      <c r="F7" s="2">
        <f t="shared" si="0"/>
        <v>2</v>
      </c>
    </row>
    <row r="8" spans="1:6" x14ac:dyDescent="0.3">
      <c r="B8" s="2" t="s">
        <v>39</v>
      </c>
      <c r="C8" s="2">
        <v>0</v>
      </c>
      <c r="D8" s="2">
        <v>1</v>
      </c>
      <c r="E8" s="2">
        <v>0</v>
      </c>
      <c r="F8" s="2">
        <f t="shared" si="0"/>
        <v>1</v>
      </c>
    </row>
    <row r="9" spans="1:6" x14ac:dyDescent="0.3">
      <c r="B9" s="2" t="s">
        <v>33</v>
      </c>
      <c r="C9" s="2">
        <v>0</v>
      </c>
      <c r="D9" s="2">
        <v>1</v>
      </c>
      <c r="E9" s="2">
        <v>0</v>
      </c>
      <c r="F9" s="2">
        <f t="shared" si="0"/>
        <v>1</v>
      </c>
    </row>
    <row r="10" spans="1:6" x14ac:dyDescent="0.3">
      <c r="B10" s="2" t="s">
        <v>23</v>
      </c>
      <c r="C10" s="2">
        <v>4</v>
      </c>
      <c r="D10" s="2">
        <v>0</v>
      </c>
      <c r="E10" s="2">
        <v>0</v>
      </c>
      <c r="F10" s="2">
        <f t="shared" si="0"/>
        <v>8</v>
      </c>
    </row>
    <row r="11" spans="1:6" x14ac:dyDescent="0.3">
      <c r="B11" s="2" t="s">
        <v>31</v>
      </c>
      <c r="C11" s="2">
        <v>0</v>
      </c>
      <c r="D11" s="2">
        <v>3</v>
      </c>
      <c r="E11" s="2">
        <v>0</v>
      </c>
      <c r="F11" s="2">
        <f t="shared" si="0"/>
        <v>3</v>
      </c>
    </row>
    <row r="13" spans="1:6" x14ac:dyDescent="0.3">
      <c r="A13" t="s">
        <v>15</v>
      </c>
      <c r="B13" s="2" t="s">
        <v>24</v>
      </c>
      <c r="C13" s="2">
        <v>1</v>
      </c>
      <c r="D13" s="2">
        <v>0</v>
      </c>
      <c r="E13" s="2">
        <v>0</v>
      </c>
      <c r="F13" s="2">
        <f t="shared" si="0"/>
        <v>2</v>
      </c>
    </row>
    <row r="14" spans="1:6" x14ac:dyDescent="0.3">
      <c r="B14" s="2" t="s">
        <v>28</v>
      </c>
      <c r="C14" s="2">
        <v>0</v>
      </c>
      <c r="D14" s="2">
        <v>16</v>
      </c>
      <c r="E14" s="2">
        <v>3</v>
      </c>
      <c r="F14" s="2">
        <f t="shared" si="0"/>
        <v>40</v>
      </c>
    </row>
    <row r="15" spans="1:6" x14ac:dyDescent="0.3">
      <c r="B15" s="2" t="s">
        <v>34</v>
      </c>
      <c r="C15" s="2">
        <v>0</v>
      </c>
      <c r="D15" s="2">
        <v>1</v>
      </c>
      <c r="E15" s="2">
        <v>0</v>
      </c>
      <c r="F15" s="2">
        <f t="shared" si="0"/>
        <v>1</v>
      </c>
    </row>
    <row r="16" spans="1:6" x14ac:dyDescent="0.3">
      <c r="B16" s="2" t="s">
        <v>41</v>
      </c>
      <c r="C16" s="2">
        <v>0</v>
      </c>
      <c r="D16" s="2">
        <v>8</v>
      </c>
      <c r="E16" s="2">
        <v>0</v>
      </c>
      <c r="F16" s="2">
        <f t="shared" si="0"/>
        <v>8</v>
      </c>
    </row>
    <row r="17" spans="1:6" x14ac:dyDescent="0.3">
      <c r="B17" s="2" t="s">
        <v>35</v>
      </c>
      <c r="C17" s="2">
        <v>0</v>
      </c>
      <c r="D17" s="2">
        <v>22</v>
      </c>
      <c r="E17" s="2">
        <v>0</v>
      </c>
      <c r="F17" s="2">
        <f t="shared" si="0"/>
        <v>22</v>
      </c>
    </row>
    <row r="19" spans="1:6" x14ac:dyDescent="0.3">
      <c r="A19" t="s">
        <v>16</v>
      </c>
      <c r="B19" s="2" t="s">
        <v>29</v>
      </c>
      <c r="C19" s="2">
        <v>0</v>
      </c>
      <c r="D19" s="2">
        <v>0</v>
      </c>
      <c r="E19" s="2">
        <v>2</v>
      </c>
      <c r="F19" s="2">
        <f t="shared" si="0"/>
        <v>16</v>
      </c>
    </row>
    <row r="20" spans="1:6" x14ac:dyDescent="0.3">
      <c r="B20" s="2" t="s">
        <v>30</v>
      </c>
      <c r="C20" s="2">
        <v>0</v>
      </c>
      <c r="D20" s="2">
        <v>0</v>
      </c>
      <c r="E20" s="2">
        <v>2</v>
      </c>
      <c r="F20" s="2">
        <f t="shared" si="0"/>
        <v>16</v>
      </c>
    </row>
    <row r="21" spans="1:6" x14ac:dyDescent="0.3">
      <c r="B21" s="2" t="s">
        <v>42</v>
      </c>
      <c r="C21" s="2">
        <v>0</v>
      </c>
      <c r="D21" s="2">
        <v>16</v>
      </c>
      <c r="E21" s="2">
        <v>0</v>
      </c>
      <c r="F21" s="2">
        <f t="shared" si="0"/>
        <v>16</v>
      </c>
    </row>
    <row r="22" spans="1:6" x14ac:dyDescent="0.3">
      <c r="B22" s="2" t="s">
        <v>36</v>
      </c>
      <c r="C22" s="2">
        <v>0</v>
      </c>
      <c r="D22" s="2">
        <v>26</v>
      </c>
      <c r="E22" s="2">
        <v>0</v>
      </c>
      <c r="F22" s="2">
        <f t="shared" si="0"/>
        <v>26</v>
      </c>
    </row>
    <row r="23" spans="1:6" x14ac:dyDescent="0.3">
      <c r="B23" s="2" t="s">
        <v>37</v>
      </c>
      <c r="C23" s="2">
        <v>0</v>
      </c>
      <c r="D23" s="2">
        <v>9</v>
      </c>
      <c r="E23" s="2">
        <v>0</v>
      </c>
      <c r="F23" s="2">
        <f t="shared" si="0"/>
        <v>9</v>
      </c>
    </row>
    <row r="24" spans="1:6" x14ac:dyDescent="0.3">
      <c r="B24" s="2" t="s">
        <v>38</v>
      </c>
      <c r="C24" s="2">
        <v>0</v>
      </c>
      <c r="D24" s="2">
        <v>1</v>
      </c>
      <c r="E24" s="2">
        <v>0</v>
      </c>
      <c r="F24" s="2">
        <f t="shared" si="0"/>
        <v>1</v>
      </c>
    </row>
    <row r="26" spans="1:6" x14ac:dyDescent="0.3">
      <c r="A26" t="s">
        <v>19</v>
      </c>
      <c r="B26" s="2" t="s">
        <v>7</v>
      </c>
      <c r="C26" s="2">
        <v>0</v>
      </c>
      <c r="D26" s="2">
        <v>8</v>
      </c>
      <c r="E26" s="2">
        <v>0</v>
      </c>
      <c r="F26" s="2">
        <f t="shared" si="0"/>
        <v>8</v>
      </c>
    </row>
    <row r="28" spans="1:6" x14ac:dyDescent="0.3">
      <c r="A28" t="s">
        <v>17</v>
      </c>
      <c r="B28" s="2" t="s">
        <v>40</v>
      </c>
      <c r="C28" s="2">
        <v>0</v>
      </c>
      <c r="D28" s="2">
        <v>1</v>
      </c>
      <c r="E28" s="2">
        <v>0</v>
      </c>
      <c r="F28" s="2">
        <f t="shared" si="0"/>
        <v>1</v>
      </c>
    </row>
    <row r="29" spans="1:6" x14ac:dyDescent="0.3">
      <c r="B29" s="2" t="s">
        <v>8</v>
      </c>
      <c r="C29" s="2">
        <v>0</v>
      </c>
      <c r="D29" s="2">
        <v>8</v>
      </c>
      <c r="E29" s="2">
        <v>0</v>
      </c>
      <c r="F29" s="2">
        <f t="shared" si="0"/>
        <v>8</v>
      </c>
    </row>
    <row r="30" spans="1:6" x14ac:dyDescent="0.3">
      <c r="B30" s="2" t="s">
        <v>9</v>
      </c>
      <c r="C30" s="2">
        <v>0</v>
      </c>
      <c r="D30" s="2">
        <v>8</v>
      </c>
      <c r="E30" s="2">
        <v>0</v>
      </c>
      <c r="F30" s="2">
        <f t="shared" si="0"/>
        <v>8</v>
      </c>
    </row>
    <row r="32" spans="1:6" x14ac:dyDescent="0.3">
      <c r="A32" t="s">
        <v>20</v>
      </c>
      <c r="B32" s="2" t="s">
        <v>6</v>
      </c>
      <c r="C32" s="2">
        <v>0</v>
      </c>
      <c r="D32" s="2">
        <v>1</v>
      </c>
      <c r="E32" s="2">
        <v>0</v>
      </c>
      <c r="F32" s="2">
        <f t="shared" si="0"/>
        <v>1</v>
      </c>
    </row>
    <row r="33" spans="1:8" x14ac:dyDescent="0.3">
      <c r="H33" t="s">
        <v>44</v>
      </c>
    </row>
    <row r="34" spans="1:8" x14ac:dyDescent="0.3">
      <c r="A34" t="s">
        <v>18</v>
      </c>
      <c r="B34" s="2" t="s">
        <v>10</v>
      </c>
      <c r="C34" s="2">
        <v>0</v>
      </c>
      <c r="D34" s="2">
        <v>3</v>
      </c>
      <c r="E34" s="2">
        <v>0</v>
      </c>
      <c r="F34" s="2">
        <f t="shared" si="0"/>
        <v>3</v>
      </c>
      <c r="H34" t="s">
        <v>45</v>
      </c>
    </row>
    <row r="35" spans="1:8" x14ac:dyDescent="0.3">
      <c r="B35" s="2" t="s">
        <v>25</v>
      </c>
      <c r="C35" s="2">
        <v>0</v>
      </c>
      <c r="D35" s="2">
        <v>2</v>
      </c>
      <c r="E35" s="2">
        <v>0</v>
      </c>
      <c r="F35" s="2">
        <f t="shared" si="0"/>
        <v>2</v>
      </c>
      <c r="H35" t="s">
        <v>46</v>
      </c>
    </row>
    <row r="36" spans="1:8" x14ac:dyDescent="0.3">
      <c r="A36" s="1" t="s">
        <v>32</v>
      </c>
      <c r="B36" t="s">
        <v>11</v>
      </c>
      <c r="C36">
        <v>2</v>
      </c>
      <c r="D36">
        <v>4</v>
      </c>
      <c r="E36">
        <v>2</v>
      </c>
      <c r="F36">
        <f t="shared" si="0"/>
        <v>24</v>
      </c>
      <c r="H36" t="s">
        <v>47</v>
      </c>
    </row>
    <row r="37" spans="1:8" x14ac:dyDescent="0.3">
      <c r="B37" s="2" t="s">
        <v>26</v>
      </c>
      <c r="C37" s="2">
        <v>1</v>
      </c>
      <c r="D37" s="2">
        <v>0</v>
      </c>
      <c r="E37" s="2">
        <f>1/8</f>
        <v>0.125</v>
      </c>
      <c r="F37" s="2">
        <f t="shared" si="0"/>
        <v>3</v>
      </c>
    </row>
    <row r="38" spans="1:8" x14ac:dyDescent="0.3">
      <c r="B38" s="2" t="s">
        <v>27</v>
      </c>
      <c r="C38" s="2">
        <v>2</v>
      </c>
      <c r="D38" s="2">
        <v>0</v>
      </c>
      <c r="E38" s="2">
        <v>2</v>
      </c>
      <c r="F38" s="2">
        <f t="shared" si="0"/>
        <v>20</v>
      </c>
    </row>
    <row r="39" spans="1:8" x14ac:dyDescent="0.3">
      <c r="B39" s="2" t="s">
        <v>43</v>
      </c>
      <c r="C39" s="2">
        <v>0</v>
      </c>
      <c r="D39" s="2">
        <v>0</v>
      </c>
      <c r="E39" s="2">
        <v>1</v>
      </c>
      <c r="F39" s="2">
        <f t="shared" si="0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Bergeron</dc:creator>
  <cp:lastModifiedBy>Olivier Bergeron</cp:lastModifiedBy>
  <dcterms:created xsi:type="dcterms:W3CDTF">2026-09-03T21:16:01Z</dcterms:created>
  <dcterms:modified xsi:type="dcterms:W3CDTF">2026-09-30T17:23:47Z</dcterms:modified>
</cp:coreProperties>
</file>